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lan1" sheetId="1" r:id="rId1"/>
    <sheet name="Plan2" sheetId="2" r:id="rId2"/>
    <sheet name="Plan3" sheetId="3" r:id="rId3"/>
  </sheets>
  <definedNames>
    <definedName name="aporte">Plan1!#REF!</definedName>
    <definedName name="patrimonio">Plan1!$D$22</definedName>
    <definedName name="qtd_anos">Plan1!$D$20</definedName>
    <definedName name="Rendimento">Plan1!$C$11</definedName>
    <definedName name="rendimento_carteira">Plan1!$D$15</definedName>
    <definedName name="Salario">Plan1!$B$11</definedName>
    <definedName name="Sugestao_investimento">Plan1!$D$11</definedName>
    <definedName name="taxa_mensal">Plan1!$D$21</definedName>
  </definedNames>
  <calcPr calcId="144525"/>
</workbook>
</file>

<file path=xl/calcChain.xml><?xml version="1.0" encoding="utf-8"?>
<calcChain xmlns="http://schemas.openxmlformats.org/spreadsheetml/2006/main">
  <c r="D21" i="1" l="1"/>
  <c r="C33" i="1"/>
  <c r="C34" i="1"/>
  <c r="C35" i="1"/>
  <c r="C36" i="1"/>
  <c r="C37" i="1"/>
  <c r="C32" i="1"/>
  <c r="D29" i="1"/>
  <c r="D11" i="1"/>
  <c r="C22" i="1"/>
  <c r="D22" i="1" s="1"/>
  <c r="C23" i="1"/>
  <c r="D23" i="1" s="1"/>
  <c r="C24" i="1"/>
  <c r="D24" i="1" s="1"/>
  <c r="C25" i="1"/>
  <c r="D25" i="1" s="1"/>
  <c r="C21" i="1"/>
  <c r="D17" i="1"/>
  <c r="D18" i="1" s="1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D32" i="1" l="1"/>
  <c r="D36" i="1"/>
  <c r="D34" i="1"/>
  <c r="D33" i="1"/>
  <c r="D37" i="1"/>
  <c r="D35" i="1"/>
  <c r="D38" i="1" l="1"/>
</calcChain>
</file>

<file path=xl/sharedStrings.xml><?xml version="1.0" encoding="utf-8"?>
<sst xmlns="http://schemas.openxmlformats.org/spreadsheetml/2006/main" count="69" uniqueCount="33">
  <si>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</si>
  <si>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</si>
  <si>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</si>
  <si>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</si>
  <si>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</si>
  <si>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</si>
  <si>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</si>
  <si>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</si>
  <si>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</si>
  <si>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</si>
  <si>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</si>
  <si>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</si>
  <si>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</si>
  <si>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</si>
  <si>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</si>
  <si>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</si>
  <si>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</si>
  <si>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</si>
  <si>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</si>
  <si>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</si>
  <si>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</si>
  <si>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</si>
  <si>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</si>
  <si>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</si>
  <si>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</si>
  <si>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</si>
  <si>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</si>
  <si>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</si>
  <si>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</si>
  <si>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</si>
  <si>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</si>
  <si>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Agressivo</t>
  </si>
  <si>
    <t>Valor a ser investido por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</si>
</sst>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70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sz val="11"/>
      <color theme="1"/>
      <name val="Segoe UI"/>
      <family val="2"/>
    </font>
    <font>
      <sz val="11"/>
      <color theme="0"/>
      <name val="Segoe UI"/>
      <family val="2"/>
    </font>
    <font>
      <b/>
      <sz val="18"/>
      <color theme="0"/>
      <name val="Segoe UI"/>
      <family val="2"/>
    </font>
    <font>
      <b/>
      <sz val="11"/>
      <color theme="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theme="0"/>
      </right>
      <top style="thin">
        <color rgb="FF0070C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70C0"/>
      </top>
      <bottom style="thin">
        <color theme="0"/>
      </bottom>
      <diagonal/>
    </border>
    <border>
      <left style="thin">
        <color theme="0"/>
      </left>
      <right style="thin">
        <color rgb="FF0070C0"/>
      </right>
      <top style="thin">
        <color rgb="FF0070C0"/>
      </top>
      <bottom style="thin">
        <color theme="0"/>
      </bottom>
      <diagonal/>
    </border>
    <border>
      <left style="thin">
        <color rgb="FF0070C0"/>
      </left>
      <right style="thin">
        <color theme="0"/>
      </right>
      <top style="thin">
        <color theme="0"/>
      </top>
      <bottom style="thin">
        <color rgb="FF0070C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70C0"/>
      </bottom>
      <diagonal/>
    </border>
    <border>
      <left style="thin">
        <color theme="0"/>
      </left>
      <right style="thin">
        <color rgb="FF0070C0"/>
      </right>
      <top style="thin">
        <color theme="0"/>
      </top>
      <bottom style="thin">
        <color rgb="FF0070C0"/>
      </bottom>
      <diagonal/>
    </border>
    <border>
      <left style="thick">
        <color rgb="FF0070C0"/>
      </left>
      <right style="thin">
        <color rgb="FF0070C0"/>
      </right>
      <top style="thick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ck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70C0"/>
      </right>
      <top style="thick">
        <color rgb="FF0070C0"/>
      </top>
      <bottom style="thin">
        <color rgb="FF0070C0"/>
      </bottom>
      <diagonal/>
    </border>
    <border>
      <left style="thick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70C0"/>
      </right>
      <top style="thin">
        <color rgb="FF0070C0"/>
      </top>
      <bottom style="thin">
        <color rgb="FF0070C0"/>
      </bottom>
      <diagonal/>
    </border>
    <border>
      <left style="thick">
        <color rgb="FF0070C0"/>
      </left>
      <right style="thin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0070C0"/>
      </bottom>
      <diagonal/>
    </border>
    <border>
      <left style="thin">
        <color rgb="FF0070C0"/>
      </left>
      <right style="thick">
        <color rgb="FF0070C0"/>
      </right>
      <top style="thin">
        <color rgb="FF0070C0"/>
      </top>
      <bottom style="thick">
        <color rgb="FF0070C0"/>
      </bottom>
      <diagonal/>
    </border>
    <border>
      <left style="thick">
        <color rgb="FF0070C0"/>
      </left>
      <right/>
      <top style="thick">
        <color rgb="FF0070C0"/>
      </top>
      <bottom style="thin">
        <color rgb="FF0070C0"/>
      </bottom>
      <diagonal/>
    </border>
    <border>
      <left/>
      <right/>
      <top style="thick">
        <color rgb="FF0070C0"/>
      </top>
      <bottom style="thin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9" fontId="0" fillId="0" borderId="0" xfId="3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3" borderId="11" xfId="0" applyFont="1" applyFill="1" applyBorder="1" applyAlignment="1">
      <alignment horizontal="left" indent="3"/>
    </xf>
    <xf numFmtId="0" fontId="4" fillId="3" borderId="1" xfId="0" applyFont="1" applyFill="1" applyBorder="1" applyAlignment="1">
      <alignment horizontal="left" indent="3"/>
    </xf>
    <xf numFmtId="170" fontId="3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0" fontId="3" fillId="0" borderId="12" xfId="0" applyNumberFormat="1" applyFont="1" applyBorder="1" applyAlignment="1">
      <alignment horizontal="center"/>
    </xf>
    <xf numFmtId="0" fontId="5" fillId="4" borderId="11" xfId="0" applyFont="1" applyFill="1" applyBorder="1" applyAlignment="1">
      <alignment horizontal="left" indent="3"/>
    </xf>
    <xf numFmtId="0" fontId="5" fillId="4" borderId="1" xfId="0" applyFont="1" applyFill="1" applyBorder="1" applyAlignment="1">
      <alignment horizontal="left" indent="3"/>
    </xf>
    <xf numFmtId="8" fontId="3" fillId="4" borderId="12" xfId="0" applyNumberFormat="1" applyFont="1" applyFill="1" applyBorder="1" applyAlignment="1">
      <alignment horizontal="center"/>
    </xf>
    <xf numFmtId="0" fontId="5" fillId="4" borderId="13" xfId="0" applyFont="1" applyFill="1" applyBorder="1" applyAlignment="1">
      <alignment horizontal="left" indent="3"/>
    </xf>
    <xf numFmtId="0" fontId="5" fillId="4" borderId="14" xfId="0" applyFont="1" applyFill="1" applyBorder="1" applyAlignment="1">
      <alignment horizontal="left" indent="3"/>
    </xf>
    <xf numFmtId="8" fontId="3" fillId="4" borderId="15" xfId="0" applyNumberFormat="1" applyFont="1" applyFill="1" applyBorder="1" applyAlignment="1">
      <alignment horizontal="center"/>
    </xf>
    <xf numFmtId="4" fontId="3" fillId="0" borderId="1" xfId="1" applyNumberFormat="1" applyFont="1" applyBorder="1" applyAlignment="1">
      <alignment horizontal="center"/>
    </xf>
    <xf numFmtId="10" fontId="3" fillId="0" borderId="1" xfId="3" applyNumberFormat="1" applyFont="1" applyBorder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6" fillId="0" borderId="0" xfId="0" applyFont="1"/>
    <xf numFmtId="0" fontId="8" fillId="2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43" fontId="6" fillId="0" borderId="0" xfId="1" applyFont="1"/>
    <xf numFmtId="0" fontId="8" fillId="2" borderId="16" xfId="0" applyFont="1" applyFill="1" applyBorder="1" applyAlignment="1"/>
    <xf numFmtId="0" fontId="8" fillId="2" borderId="17" xfId="0" applyFont="1" applyFill="1" applyBorder="1" applyAlignment="1"/>
    <xf numFmtId="0" fontId="8" fillId="2" borderId="18" xfId="0" applyFont="1" applyFill="1" applyBorder="1" applyAlignment="1"/>
    <xf numFmtId="0" fontId="8" fillId="2" borderId="10" xfId="0" applyFont="1" applyFill="1" applyBorder="1" applyAlignment="1">
      <alignment horizontal="center"/>
    </xf>
    <xf numFmtId="0" fontId="4" fillId="0" borderId="11" xfId="0" applyFont="1" applyBorder="1"/>
    <xf numFmtId="0" fontId="4" fillId="0" borderId="13" xfId="0" applyFont="1" applyBorder="1"/>
    <xf numFmtId="44" fontId="4" fillId="0" borderId="1" xfId="2" applyFont="1" applyBorder="1"/>
    <xf numFmtId="44" fontId="4" fillId="0" borderId="12" xfId="2" applyFont="1" applyBorder="1"/>
    <xf numFmtId="44" fontId="4" fillId="0" borderId="14" xfId="2" applyFont="1" applyBorder="1"/>
    <xf numFmtId="44" fontId="4" fillId="0" borderId="15" xfId="2" applyFont="1" applyBorder="1"/>
    <xf numFmtId="44" fontId="6" fillId="0" borderId="0" xfId="2" applyFont="1"/>
    <xf numFmtId="0" fontId="6" fillId="4" borderId="1" xfId="0" applyFont="1" applyFill="1" applyBorder="1" applyAlignment="1">
      <alignment horizontal="center"/>
    </xf>
    <xf numFmtId="44" fontId="6" fillId="0" borderId="1" xfId="2" applyFont="1" applyBorder="1" applyAlignment="1">
      <alignment horizontal="center"/>
    </xf>
    <xf numFmtId="44" fontId="6" fillId="0" borderId="1" xfId="2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1" xfId="0" applyFont="1" applyBorder="1"/>
    <xf numFmtId="9" fontId="6" fillId="0" borderId="1" xfId="3" applyFont="1" applyBorder="1" applyAlignment="1">
      <alignment horizontal="center"/>
    </xf>
    <xf numFmtId="44" fontId="6" fillId="0" borderId="1" xfId="2" applyFont="1" applyBorder="1"/>
    <xf numFmtId="0" fontId="6" fillId="0" borderId="19" xfId="0" applyFont="1" applyBorder="1"/>
    <xf numFmtId="9" fontId="6" fillId="0" borderId="19" xfId="3" applyFont="1" applyBorder="1" applyAlignment="1">
      <alignment horizontal="center"/>
    </xf>
    <xf numFmtId="44" fontId="6" fillId="0" borderId="19" xfId="2" applyFont="1" applyBorder="1"/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2" fillId="0" borderId="0" xfId="0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Plan1!$C$31</c:f>
              <c:strCache>
                <c:ptCount val="1"/>
                <c:pt idx="0">
                  <c:v>Percentual Sugerido</c:v>
                </c:pt>
              </c:strCache>
            </c:strRef>
          </c:tx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Plan1!$B$32:$B$37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Plan1!$C$32:$C$37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29000</xdr:colOff>
      <xdr:row>6</xdr:row>
      <xdr:rowOff>171450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1050" b="32171"/>
        <a:stretch/>
      </xdr:blipFill>
      <xdr:spPr>
        <a:xfrm>
          <a:off x="609600" y="381000"/>
          <a:ext cx="4972475" cy="1219200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38</xdr:row>
      <xdr:rowOff>19049</xdr:rowOff>
    </xdr:from>
    <xdr:to>
      <xdr:col>4</xdr:col>
      <xdr:colOff>9525</xdr:colOff>
      <xdr:row>58</xdr:row>
      <xdr:rowOff>85725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showGridLines="0" showRowColHeaders="0" tabSelected="1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0" defaultRowHeight="16.5" zeroHeight="1" x14ac:dyDescent="0.3"/>
  <cols>
    <col min="1" max="1" width="2.7109375" customWidth="1"/>
    <col min="2" max="4" width="24.7109375" style="22" customWidth="1"/>
    <col min="5" max="5" width="3.140625" customWidth="1"/>
    <col min="8" max="16384" width="9.140625" hidden="1"/>
  </cols>
  <sheetData>
    <row r="1" spans="2:5" x14ac:dyDescent="0.3"/>
    <row r="2" spans="2:5" x14ac:dyDescent="0.3"/>
    <row r="3" spans="2:5" x14ac:dyDescent="0.3"/>
    <row r="4" spans="2:5" x14ac:dyDescent="0.3"/>
    <row r="5" spans="2:5" x14ac:dyDescent="0.3"/>
    <row r="6" spans="2:5" x14ac:dyDescent="0.3"/>
    <row r="7" spans="2:5" x14ac:dyDescent="0.3"/>
    <row r="8" spans="2:5" x14ac:dyDescent="0.3"/>
    <row r="9" spans="2:5" ht="26.25" x14ac:dyDescent="0.45">
      <c r="B9" s="19" t="s">
        <v>0</v>
      </c>
      <c r="C9" s="20"/>
      <c r="D9" s="21"/>
    </row>
    <row r="10" spans="2:5" ht="33" x14ac:dyDescent="0.25">
      <c r="B10" s="16" t="s">
        <v>1</v>
      </c>
      <c r="C10" s="17" t="s">
        <v>2</v>
      </c>
      <c r="D10" s="18" t="s">
        <v>3</v>
      </c>
      <c r="E10" s="2"/>
    </row>
    <row r="11" spans="2:5" x14ac:dyDescent="0.3">
      <c r="B11" s="14">
        <v>2000</v>
      </c>
      <c r="C11" s="15">
        <v>6.0000000000000001E-3</v>
      </c>
      <c r="D11" s="14">
        <f>B11*30%</f>
        <v>600</v>
      </c>
    </row>
    <row r="12" spans="2:5" ht="17.25" thickBot="1" x14ac:dyDescent="0.35"/>
    <row r="13" spans="2:5" ht="27" thickTop="1" x14ac:dyDescent="0.45">
      <c r="B13" s="26" t="s">
        <v>4</v>
      </c>
      <c r="C13" s="27"/>
      <c r="D13" s="28"/>
    </row>
    <row r="14" spans="2:5" ht="17.25" x14ac:dyDescent="0.3">
      <c r="B14" s="3" t="s">
        <v>5</v>
      </c>
      <c r="C14" s="4"/>
      <c r="D14" s="5">
        <v>200</v>
      </c>
    </row>
    <row r="15" spans="2:5" ht="17.25" x14ac:dyDescent="0.3">
      <c r="B15" s="3" t="s">
        <v>6</v>
      </c>
      <c r="C15" s="4"/>
      <c r="D15" s="6">
        <v>5</v>
      </c>
    </row>
    <row r="16" spans="2:5" ht="17.25" x14ac:dyDescent="0.3">
      <c r="B16" s="3" t="s">
        <v>7</v>
      </c>
      <c r="C16" s="4"/>
      <c r="D16" s="7">
        <v>1.0789999999999999E-2</v>
      </c>
    </row>
    <row r="17" spans="1:4" ht="17.25" x14ac:dyDescent="0.3">
      <c r="B17" s="8" t="s">
        <v>8</v>
      </c>
      <c r="C17" s="9"/>
      <c r="D17" s="10">
        <f>FV(D16,D15*12,D14*-1)</f>
        <v>16755.382799697527</v>
      </c>
    </row>
    <row r="18" spans="1:4" ht="18" thickBot="1" x14ac:dyDescent="0.35">
      <c r="B18" s="11" t="s">
        <v>9</v>
      </c>
      <c r="C18" s="12"/>
      <c r="D18" s="13">
        <f>D17*C11</f>
        <v>100.53229679818516</v>
      </c>
    </row>
    <row r="19" spans="1:4" ht="18" thickTop="1" thickBot="1" x14ac:dyDescent="0.35"/>
    <row r="20" spans="1:4" ht="27" thickTop="1" x14ac:dyDescent="0.45">
      <c r="A20" s="50"/>
      <c r="B20" s="23" t="s">
        <v>10</v>
      </c>
      <c r="C20" s="24"/>
      <c r="D20" s="29" t="s">
        <v>11</v>
      </c>
    </row>
    <row r="21" spans="1:4" ht="17.25" x14ac:dyDescent="0.3">
      <c r="A21" s="50">
        <v>2</v>
      </c>
      <c r="B21" s="30" t="s">
        <v>12</v>
      </c>
      <c r="C21" s="32">
        <f>FV($D$16,$A21*12,$D$14*-1)</f>
        <v>5445.5254595290435</v>
      </c>
      <c r="D21" s="33">
        <f>C21*$C$11</f>
        <v>32.673152757174265</v>
      </c>
    </row>
    <row r="22" spans="1:4" ht="17.25" x14ac:dyDescent="0.3">
      <c r="A22" s="50">
        <v>5</v>
      </c>
      <c r="B22" s="30" t="s">
        <v>13</v>
      </c>
      <c r="C22" s="32">
        <f>FV($D$16,$A22*12,$D$14*-1)</f>
        <v>16755.382799697527</v>
      </c>
      <c r="D22" s="33">
        <f>C22*$C$11</f>
        <v>100.53229679818516</v>
      </c>
    </row>
    <row r="23" spans="1:4" ht="17.25" x14ac:dyDescent="0.3">
      <c r="A23" s="50">
        <v>10</v>
      </c>
      <c r="B23" s="30" t="s">
        <v>14</v>
      </c>
      <c r="C23" s="32">
        <f>FV($D$16,$A23*12,$D$14*-1)</f>
        <v>48656.842506034438</v>
      </c>
      <c r="D23" s="33">
        <f>C23*$C$11</f>
        <v>291.94105503620665</v>
      </c>
    </row>
    <row r="24" spans="1:4" ht="17.25" x14ac:dyDescent="0.3">
      <c r="A24" s="50">
        <v>20</v>
      </c>
      <c r="B24" s="30" t="s">
        <v>15</v>
      </c>
      <c r="C24" s="32">
        <f>FV($D$16,$A24*12,$D$14*-1)</f>
        <v>225039.68001941612</v>
      </c>
      <c r="D24" s="33">
        <f>C24*$C$11</f>
        <v>1350.2380801164968</v>
      </c>
    </row>
    <row r="25" spans="1:4" ht="18" thickBot="1" x14ac:dyDescent="0.35">
      <c r="A25" s="50">
        <v>30</v>
      </c>
      <c r="B25" s="31" t="s">
        <v>16</v>
      </c>
      <c r="C25" s="34">
        <f>FV($D$16,$A25*12,$D$14*-1)</f>
        <v>864433.93100094295</v>
      </c>
      <c r="D25" s="35">
        <f>C25*$C$11</f>
        <v>5186.6035860056581</v>
      </c>
    </row>
    <row r="26" spans="1:4" ht="17.25" thickTop="1" x14ac:dyDescent="0.3">
      <c r="A26" s="50"/>
      <c r="C26" s="25"/>
    </row>
    <row r="27" spans="1:4" x14ac:dyDescent="0.3">
      <c r="A27" s="50"/>
    </row>
    <row r="28" spans="1:4" x14ac:dyDescent="0.3">
      <c r="B28" s="37" t="s">
        <v>17</v>
      </c>
      <c r="C28" s="37"/>
      <c r="D28" s="40" t="s">
        <v>18</v>
      </c>
    </row>
    <row r="29" spans="1:4" x14ac:dyDescent="0.3">
      <c r="B29" s="39" t="s">
        <v>32</v>
      </c>
      <c r="C29" s="39"/>
      <c r="D29" s="38">
        <f>D14</f>
        <v>200</v>
      </c>
    </row>
    <row r="30" spans="1:4" x14ac:dyDescent="0.3"/>
    <row r="31" spans="1:4" x14ac:dyDescent="0.25">
      <c r="B31" s="47" t="s">
        <v>19</v>
      </c>
      <c r="C31" s="48" t="s">
        <v>20</v>
      </c>
      <c r="D31" s="49" t="s">
        <v>21</v>
      </c>
    </row>
    <row r="32" spans="1:4" x14ac:dyDescent="0.3">
      <c r="B32" s="41" t="s">
        <v>22</v>
      </c>
      <c r="C32" s="42">
        <f>VLOOKUP($D$28&amp;"-"&amp;B32,Plan2!$B:$E,4,0)</f>
        <v>0.32</v>
      </c>
      <c r="D32" s="43">
        <f>C32*$D$29</f>
        <v>64</v>
      </c>
    </row>
    <row r="33" spans="2:4" x14ac:dyDescent="0.3">
      <c r="B33" s="41" t="s">
        <v>23</v>
      </c>
      <c r="C33" s="42">
        <f>VLOOKUP($D$28&amp;"-"&amp;B33,Plan2!$B:$E,4,0)</f>
        <v>0.35</v>
      </c>
      <c r="D33" s="43">
        <f>C33*$D$29</f>
        <v>70</v>
      </c>
    </row>
    <row r="34" spans="2:4" x14ac:dyDescent="0.3">
      <c r="B34" s="41" t="s">
        <v>24</v>
      </c>
      <c r="C34" s="42">
        <f>VLOOKUP($D$28&amp;"-"&amp;B34,Plan2!$B:$E,4,0)</f>
        <v>0.08</v>
      </c>
      <c r="D34" s="43">
        <f>C34*$D$29</f>
        <v>16</v>
      </c>
    </row>
    <row r="35" spans="2:4" x14ac:dyDescent="0.3">
      <c r="B35" s="41" t="s">
        <v>25</v>
      </c>
      <c r="C35" s="42">
        <f>VLOOKUP($D$28&amp;"-"&amp;B35,Plan2!$B:$E,4,0)</f>
        <v>0.05</v>
      </c>
      <c r="D35" s="43">
        <f>C35*$D$29</f>
        <v>10</v>
      </c>
    </row>
    <row r="36" spans="2:4" x14ac:dyDescent="0.3">
      <c r="B36" s="41" t="s">
        <v>26</v>
      </c>
      <c r="C36" s="42">
        <f>VLOOKUP($D$28&amp;"-"&amp;B36,Plan2!$B:$E,4,0)</f>
        <v>0.1</v>
      </c>
      <c r="D36" s="43">
        <f>C36*$D$29</f>
        <v>20</v>
      </c>
    </row>
    <row r="37" spans="2:4" ht="17.25" thickBot="1" x14ac:dyDescent="0.35">
      <c r="B37" s="44" t="s">
        <v>27</v>
      </c>
      <c r="C37" s="45">
        <f>VLOOKUP($D$28&amp;"-"&amp;B37,Plan2!$B:$E,4,0)</f>
        <v>0.1</v>
      </c>
      <c r="D37" s="46">
        <f>C37*$D$29</f>
        <v>20</v>
      </c>
    </row>
    <row r="38" spans="2:4" x14ac:dyDescent="0.3">
      <c r="D38" s="36">
        <f>SUM(D32:D37)</f>
        <v>200</v>
      </c>
    </row>
    <row r="39" spans="2:4" x14ac:dyDescent="0.3">
      <c r="D39" s="36"/>
    </row>
    <row r="40" spans="2:4" x14ac:dyDescent="0.3"/>
    <row r="41" spans="2:4" x14ac:dyDescent="0.3"/>
    <row r="42" spans="2:4" x14ac:dyDescent="0.3"/>
    <row r="43" spans="2:4" x14ac:dyDescent="0.3"/>
    <row r="44" spans="2:4" x14ac:dyDescent="0.3"/>
    <row r="45" spans="2:4" x14ac:dyDescent="0.3"/>
    <row r="46" spans="2:4" x14ac:dyDescent="0.3"/>
    <row r="47" spans="2:4" x14ac:dyDescent="0.3"/>
    <row r="48" spans="2:4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</sheetData>
  <mergeCells count="9">
    <mergeCell ref="B28:C28"/>
    <mergeCell ref="B29:C29"/>
    <mergeCell ref="B18:C18"/>
    <mergeCell ref="B20:C20"/>
    <mergeCell ref="B9:D9"/>
    <mergeCell ref="B14:C14"/>
    <mergeCell ref="B15:C15"/>
    <mergeCell ref="B16:C16"/>
    <mergeCell ref="B17:C17"/>
  </mergeCells>
  <dataValidations disablePrompts="1" count="1">
    <dataValidation type="list" allowBlank="1" showInputMessage="1" showErrorMessage="1" sqref="D28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1"/>
  <sheetViews>
    <sheetView workbookViewId="0">
      <selection activeCell="H10" sqref="H10"/>
    </sheetView>
  </sheetViews>
  <sheetFormatPr defaultRowHeight="15" x14ac:dyDescent="0.25"/>
  <cols>
    <col min="2" max="2" width="31.28515625" bestFit="1" customWidth="1"/>
    <col min="3" max="3" width="12.140625" bestFit="1" customWidth="1"/>
    <col min="4" max="4" width="19" bestFit="1" customWidth="1"/>
    <col min="5" max="5" width="6.140625" style="1" bestFit="1" customWidth="1"/>
  </cols>
  <sheetData>
    <row r="3" spans="2:5" x14ac:dyDescent="0.25">
      <c r="B3" t="s">
        <v>28</v>
      </c>
      <c r="C3" t="s">
        <v>17</v>
      </c>
      <c r="D3" t="s">
        <v>19</v>
      </c>
      <c r="E3" s="1" t="s">
        <v>29</v>
      </c>
    </row>
    <row r="4" spans="2:5" x14ac:dyDescent="0.25">
      <c r="B4" t="str">
        <f>C4&amp;"-"&amp;D4</f>
        <v>Conservador-PAPEL</v>
      </c>
      <c r="C4" t="s">
        <v>30</v>
      </c>
      <c r="D4" t="s">
        <v>22</v>
      </c>
      <c r="E4" s="1">
        <v>0.3</v>
      </c>
    </row>
    <row r="5" spans="2:5" x14ac:dyDescent="0.25">
      <c r="B5" t="str">
        <f t="shared" ref="B5:B21" si="0">C5&amp;"-"&amp;D5</f>
        <v>Conservador-TIJOLO</v>
      </c>
      <c r="C5" t="s">
        <v>30</v>
      </c>
      <c r="D5" t="s">
        <v>23</v>
      </c>
      <c r="E5" s="1">
        <v>0.5</v>
      </c>
    </row>
    <row r="6" spans="2:5" x14ac:dyDescent="0.25">
      <c r="B6" t="str">
        <f t="shared" si="0"/>
        <v>Conservador-HÍBRIDOS</v>
      </c>
      <c r="C6" t="s">
        <v>30</v>
      </c>
      <c r="D6" t="s">
        <v>24</v>
      </c>
      <c r="E6" s="1">
        <v>0.1</v>
      </c>
    </row>
    <row r="7" spans="2:5" x14ac:dyDescent="0.25">
      <c r="B7" t="str">
        <f t="shared" si="0"/>
        <v>Conservador-FOFs</v>
      </c>
      <c r="C7" t="s">
        <v>30</v>
      </c>
      <c r="D7" t="s">
        <v>25</v>
      </c>
      <c r="E7" s="1">
        <v>0.1</v>
      </c>
    </row>
    <row r="8" spans="2:5" x14ac:dyDescent="0.25">
      <c r="B8" t="str">
        <f t="shared" si="0"/>
        <v>Conservador-DESENVOLVIMENTO</v>
      </c>
      <c r="C8" t="s">
        <v>30</v>
      </c>
      <c r="D8" t="s">
        <v>26</v>
      </c>
      <c r="E8" s="1">
        <v>0</v>
      </c>
    </row>
    <row r="9" spans="2:5" x14ac:dyDescent="0.25">
      <c r="B9" t="str">
        <f t="shared" si="0"/>
        <v>Conservador-HOTELARIAS</v>
      </c>
      <c r="C9" t="s">
        <v>30</v>
      </c>
      <c r="D9" t="s">
        <v>27</v>
      </c>
      <c r="E9" s="1">
        <v>0</v>
      </c>
    </row>
    <row r="10" spans="2:5" x14ac:dyDescent="0.25">
      <c r="B10" t="str">
        <f t="shared" si="0"/>
        <v>Moderado-PAPEL</v>
      </c>
      <c r="C10" t="s">
        <v>18</v>
      </c>
      <c r="D10" t="s">
        <v>22</v>
      </c>
      <c r="E10" s="1">
        <v>0.32</v>
      </c>
    </row>
    <row r="11" spans="2:5" x14ac:dyDescent="0.25">
      <c r="B11" t="str">
        <f t="shared" si="0"/>
        <v>Moderado-TIJOLO</v>
      </c>
      <c r="C11" t="s">
        <v>18</v>
      </c>
      <c r="D11" t="s">
        <v>23</v>
      </c>
      <c r="E11" s="1">
        <v>0.35</v>
      </c>
    </row>
    <row r="12" spans="2:5" x14ac:dyDescent="0.25">
      <c r="B12" t="str">
        <f t="shared" si="0"/>
        <v>Moderado-HÍBRIDOS</v>
      </c>
      <c r="C12" t="s">
        <v>18</v>
      </c>
      <c r="D12" t="s">
        <v>24</v>
      </c>
      <c r="E12" s="1">
        <v>0.08</v>
      </c>
    </row>
    <row r="13" spans="2:5" x14ac:dyDescent="0.25">
      <c r="B13" t="str">
        <f t="shared" si="0"/>
        <v>Moderado-FOFs</v>
      </c>
      <c r="C13" t="s">
        <v>18</v>
      </c>
      <c r="D13" t="s">
        <v>25</v>
      </c>
      <c r="E13" s="1">
        <v>0.05</v>
      </c>
    </row>
    <row r="14" spans="2:5" x14ac:dyDescent="0.25">
      <c r="B14" t="str">
        <f t="shared" si="0"/>
        <v>Moderado-DESENVOLVIMENTO</v>
      </c>
      <c r="C14" t="s">
        <v>18</v>
      </c>
      <c r="D14" t="s">
        <v>26</v>
      </c>
      <c r="E14" s="1">
        <v>0.1</v>
      </c>
    </row>
    <row r="15" spans="2:5" x14ac:dyDescent="0.25">
      <c r="B15" t="str">
        <f t="shared" si="0"/>
        <v>Moderado-HOTELARIAS</v>
      </c>
      <c r="C15" t="s">
        <v>18</v>
      </c>
      <c r="D15" t="s">
        <v>27</v>
      </c>
      <c r="E15" s="1">
        <v>0.1</v>
      </c>
    </row>
    <row r="16" spans="2:5" x14ac:dyDescent="0.25">
      <c r="B16" t="str">
        <f t="shared" si="0"/>
        <v>Agressivo-PAPEL</v>
      </c>
      <c r="C16" t="s">
        <v>31</v>
      </c>
      <c r="D16" t="s">
        <v>22</v>
      </c>
      <c r="E16" s="1">
        <v>0.5</v>
      </c>
    </row>
    <row r="17" spans="2:5" x14ac:dyDescent="0.25">
      <c r="B17" t="str">
        <f t="shared" si="0"/>
        <v>Agressivo-TIJOLO</v>
      </c>
      <c r="C17" t="s">
        <v>31</v>
      </c>
      <c r="D17" t="s">
        <v>23</v>
      </c>
      <c r="E17" s="1">
        <v>0.1</v>
      </c>
    </row>
    <row r="18" spans="2:5" x14ac:dyDescent="0.25">
      <c r="B18" t="str">
        <f t="shared" si="0"/>
        <v>Agressivo-HÍBRIDOS</v>
      </c>
      <c r="C18" t="s">
        <v>31</v>
      </c>
      <c r="D18" t="s">
        <v>24</v>
      </c>
      <c r="E18" s="1">
        <v>0.05</v>
      </c>
    </row>
    <row r="19" spans="2:5" x14ac:dyDescent="0.25">
      <c r="B19" t="str">
        <f t="shared" si="0"/>
        <v>Agressivo-FOFs</v>
      </c>
      <c r="C19" t="s">
        <v>31</v>
      </c>
      <c r="D19" t="s">
        <v>25</v>
      </c>
      <c r="E19" s="1">
        <v>0.05</v>
      </c>
    </row>
    <row r="20" spans="2:5" x14ac:dyDescent="0.25">
      <c r="B20" t="str">
        <f t="shared" si="0"/>
        <v>Agressivo-DESENVOLVIMENTO</v>
      </c>
      <c r="C20" t="s">
        <v>31</v>
      </c>
      <c r="D20" t="s">
        <v>26</v>
      </c>
      <c r="E20" s="1">
        <v>0.2</v>
      </c>
    </row>
    <row r="21" spans="2:5" x14ac:dyDescent="0.25">
      <c r="B21" t="str">
        <f t="shared" si="0"/>
        <v>Agressivo-HOTELARIAS</v>
      </c>
      <c r="C21" t="s">
        <v>31</v>
      </c>
      <c r="D21" t="s">
        <v>27</v>
      </c>
      <c r="E21" s="1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7</vt:i4>
      </vt:variant>
    </vt:vector>
  </HeadingPairs>
  <TitlesOfParts>
    <vt:vector size="10" baseType="lpstr">
      <vt:lpstr>Plan1</vt:lpstr>
      <vt:lpstr>Plan2</vt:lpstr>
      <vt:lpstr>Plan3</vt:lpstr>
      <vt:lpstr>patrimonio</vt:lpstr>
      <vt:lpstr>qtd_anos</vt:lpstr>
      <vt:lpstr>Rendimento</vt:lpstr>
      <vt:lpstr>rendimento_carteira</vt:lpstr>
      <vt:lpstr>Salario</vt:lpstr>
      <vt:lpstr>Sugestao_investimento</vt:lpstr>
      <vt:lpstr>taxa_mensal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</dc:creator>
  <cp:lastModifiedBy>Familia</cp:lastModifiedBy>
  <dcterms:created xsi:type="dcterms:W3CDTF">2026-02-09T11:51:05Z</dcterms:created>
  <dcterms:modified xsi:type="dcterms:W3CDTF">2026-02-09T12:25:18Z</dcterms:modified>
</cp:coreProperties>
</file>